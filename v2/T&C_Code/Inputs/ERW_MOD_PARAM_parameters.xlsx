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a3938e8dc8ffb04/Yale/TC-SMEW-N/T^0C-SMEW-N v0.9/v2/T^0C_Code/Inputs/"/>
    </mc:Choice>
  </mc:AlternateContent>
  <xr:revisionPtr revIDLastSave="59" documentId="13_ncr:1_{0B0F0EB4-1128-4629-B675-51A4EEB78CC6}" xr6:coauthVersionLast="47" xr6:coauthVersionMax="47" xr10:uidLastSave="{3A23DF3D-047E-4E53-B745-8BBE5C31AC3B}"/>
  <bookViews>
    <workbookView xWindow="3294" yWindow="3294" windowWidth="17280" windowHeight="9984" tabRatio="569" xr2:uid="{00000000-000D-0000-FFFF-FFFF00000000}"/>
  </bookViews>
  <sheets>
    <sheet name="MOD_PARAM" sheetId="3" r:id="rId1"/>
    <sheet name="ERW_MOD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4" l="1"/>
  <c r="AB2" i="4"/>
  <c r="AB3" i="4"/>
</calcChain>
</file>

<file path=xl/sharedStrings.xml><?xml version="1.0" encoding="utf-8"?>
<sst xmlns="http://schemas.openxmlformats.org/spreadsheetml/2006/main" count="131" uniqueCount="75">
  <si>
    <t>M_rock_in</t>
  </si>
  <si>
    <t>rho_rock</t>
  </si>
  <si>
    <t>diss_f</t>
  </si>
  <si>
    <t>Alk_rain</t>
  </si>
  <si>
    <t>Number</t>
  </si>
  <si>
    <t>Location</t>
  </si>
  <si>
    <t>Lat</t>
  </si>
  <si>
    <t>Lon</t>
  </si>
  <si>
    <t>Ccrown</t>
  </si>
  <si>
    <t>Year</t>
  </si>
  <si>
    <t>PH</t>
  </si>
  <si>
    <t>rsd</t>
  </si>
  <si>
    <t>keyword_add</t>
  </si>
  <si>
    <t>soil</t>
  </si>
  <si>
    <t>mineral</t>
  </si>
  <si>
    <t>Cbare</t>
  </si>
  <si>
    <t>Pcla</t>
  </si>
  <si>
    <t>Psan</t>
  </si>
  <si>
    <t>Porg</t>
  </si>
  <si>
    <t>Zs</t>
  </si>
  <si>
    <t>Zbio</t>
  </si>
  <si>
    <t>MgCO3_in</t>
  </si>
  <si>
    <t>SSA_in</t>
  </si>
  <si>
    <t>rock_f_in</t>
  </si>
  <si>
    <t>d_in</t>
  </si>
  <si>
    <t>psd_in</t>
  </si>
  <si>
    <t>ZR95_L</t>
  </si>
  <si>
    <t>opt_TC_biochem</t>
  </si>
  <si>
    <t>opt_crop</t>
  </si>
  <si>
    <t>Mg_in</t>
  </si>
  <si>
    <t>Si_in</t>
  </si>
  <si>
    <t>rock_type</t>
  </si>
  <si>
    <t>fX_conc_convention</t>
  </si>
  <si>
    <t>Ca_in</t>
  </si>
  <si>
    <t>K_in</t>
  </si>
  <si>
    <t>Na_in</t>
  </si>
  <si>
    <t>Al_w_in</t>
  </si>
  <si>
    <t>rock_dist_data</t>
  </si>
  <si>
    <t>rock_filepath</t>
  </si>
  <si>
    <t>f_CEC_in</t>
  </si>
  <si>
    <t>Kbot</t>
  </si>
  <si>
    <t>f_O_in</t>
  </si>
  <si>
    <t>soil_temp</t>
  </si>
  <si>
    <t>diss_f_original</t>
  </si>
  <si>
    <t>CaCO3_in</t>
  </si>
  <si>
    <t>Urbana (US)</t>
  </si>
  <si>
    <t>Kantola</t>
  </si>
  <si>
    <t>2016-2020</t>
  </si>
  <si>
    <t>silty loam</t>
  </si>
  <si>
    <t>blueridge_CDF_data.json</t>
  </si>
  <si>
    <t>cc</t>
  </si>
  <si>
    <t>[0 10 50 100 150 200 300 400 600 800 1000 1250 1500 1750 2000 2500 3000 3500 4000 4500 5000]</t>
  </si>
  <si>
    <t>MOD_PARAM</t>
  </si>
  <si>
    <t>MOD_PARAM_Kantola_Maize_Soy</t>
  </si>
  <si>
    <t>Blueridge</t>
  </si>
  <si>
    <t>crop_control</t>
  </si>
  <si>
    <t>t_res</t>
  </si>
  <si>
    <t>ExperimentFullName</t>
  </si>
  <si>
    <t>ExperimentalDescription</t>
  </si>
  <si>
    <t>NumberOfDays</t>
  </si>
  <si>
    <t>PFT_type</t>
  </si>
  <si>
    <t>stature_type</t>
  </si>
  <si>
    <t>[1]</t>
  </si>
  <si>
    <t>[0 0]</t>
  </si>
  <si>
    <t>CEC_tot_in</t>
  </si>
  <si>
    <t>pretreatment</t>
  </si>
  <si>
    <t>2009-2016</t>
  </si>
  <si>
    <t>["albite", "ferroactinolite", "epidote", "chlorite","quartz"]</t>
  </si>
  <si>
    <t>[0.196,0.116,0.256,0.363,0.052]</t>
  </si>
  <si>
    <t>[0.233,0.119,0.178,0.34,0.09,0.026]</t>
  </si>
  <si>
    <t>["albite", "ferroactinolite", "epidote", "chlorite","quartz","calcite"]</t>
  </si>
  <si>
    <t>crop_Beerling</t>
  </si>
  <si>
    <t>crop_Lewis</t>
  </si>
  <si>
    <t>crop_calcite</t>
  </si>
  <si>
    <t>["calcite"]</t>
  </si>
  <si>
    <t>pH_DilutionFactor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</si>
</sst>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left"/>
    </xf>
    <xf numFmtId="164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/>
    </xf>
    <xf numFmtId="0" fontId="0" fillId="0" borderId="3" xfId="0" applyBorder="1"/>
    <xf numFmtId="2" fontId="0" fillId="0" borderId="3" xfId="0" applyNumberFormat="1" applyBorder="1"/>
    <xf numFmtId="0" fontId="0" fillId="0" borderId="4" xfId="0" applyBorder="1" applyAlignment="1">
      <alignment horizontal="left"/>
    </xf>
    <xf numFmtId="0" fontId="2" fillId="0" borderId="0" xfId="0" applyFont="1" applyAlignment="1">
      <alignment horizontal="left" vertical="center" indent="1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2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89003-D51E-46FB-A15B-91DFDAA3BEF6}">
  <dimension ref="A1:Y12"/>
  <sheetViews>
    <sheetView tabSelected="1" topLeftCell="O1" zoomScale="115" zoomScaleNormal="115" workbookViewId="0">
      <selection activeCell="U1" sqref="U1:AC1048576"/>
    </sheetView>
  </sheetViews>
  <sheetFormatPr defaultColWidth="8.68359375" defaultRowHeight="14.4" x14ac:dyDescent="0.55000000000000004"/>
  <cols>
    <col min="1" max="1" width="9.1015625" style="2" customWidth="1"/>
    <col min="2" max="2" width="34.68359375" style="2" customWidth="1"/>
    <col min="3" max="3" width="13.3125" style="2" bestFit="1" customWidth="1"/>
    <col min="4" max="4" width="12.3125" style="2" customWidth="1"/>
    <col min="5" max="5" width="12.41796875" style="2" customWidth="1"/>
    <col min="6" max="6" width="33.89453125" style="2" customWidth="1"/>
    <col min="7" max="7" width="8" style="2" customWidth="1"/>
    <col min="8" max="8" width="15" style="2" bestFit="1" customWidth="1"/>
    <col min="9" max="9" width="12.41796875" style="2" customWidth="1"/>
    <col min="10" max="10" width="9.1015625" style="2" customWidth="1"/>
    <col min="11" max="11" width="8.68359375" style="2"/>
    <col min="12" max="12" width="10" style="2" customWidth="1"/>
    <col min="13" max="14" width="8.68359375" style="2"/>
    <col min="15" max="15" width="112.41796875" style="2" customWidth="1"/>
    <col min="16" max="16" width="9.89453125" style="2" customWidth="1"/>
    <col min="17" max="17" width="8.5234375" style="2" customWidth="1"/>
    <col min="18" max="18" width="9.5234375" style="2" customWidth="1"/>
    <col min="19" max="19" width="8.5234375" style="2" customWidth="1"/>
    <col min="20" max="20" width="12.5234375" style="2" customWidth="1"/>
    <col min="21" max="22" width="8.68359375" style="2"/>
    <col min="23" max="23" width="10.3125" style="2" customWidth="1"/>
    <col min="24" max="24" width="8.68359375" style="2"/>
    <col min="25" max="25" width="11.68359375" style="2" customWidth="1"/>
    <col min="26" max="16384" width="8.68359375" style="2"/>
  </cols>
  <sheetData>
    <row r="1" spans="1:25" x14ac:dyDescent="0.55000000000000004">
      <c r="A1" s="6" t="s">
        <v>4</v>
      </c>
      <c r="B1" s="15" t="s">
        <v>57</v>
      </c>
      <c r="C1" s="16" t="s">
        <v>5</v>
      </c>
      <c r="D1" s="17" t="s">
        <v>6</v>
      </c>
      <c r="E1" s="17" t="s">
        <v>7</v>
      </c>
      <c r="F1" s="13" t="s">
        <v>52</v>
      </c>
      <c r="G1" s="16" t="s">
        <v>56</v>
      </c>
      <c r="H1" s="17" t="s">
        <v>59</v>
      </c>
      <c r="I1" s="6" t="s">
        <v>9</v>
      </c>
      <c r="J1" s="18" t="s">
        <v>10</v>
      </c>
      <c r="K1" s="6" t="s">
        <v>11</v>
      </c>
      <c r="L1" s="6" t="s">
        <v>16</v>
      </c>
      <c r="M1" s="6" t="s">
        <v>17</v>
      </c>
      <c r="N1" s="6" t="s">
        <v>18</v>
      </c>
      <c r="O1" s="6" t="s">
        <v>19</v>
      </c>
      <c r="P1" s="6" t="s">
        <v>20</v>
      </c>
      <c r="Q1" s="6" t="s">
        <v>15</v>
      </c>
      <c r="R1" s="6" t="s">
        <v>8</v>
      </c>
      <c r="S1" s="6" t="s">
        <v>50</v>
      </c>
      <c r="T1" s="6" t="s">
        <v>26</v>
      </c>
      <c r="U1" s="6" t="s">
        <v>40</v>
      </c>
      <c r="V1" s="6" t="s">
        <v>41</v>
      </c>
      <c r="W1" s="6" t="s">
        <v>42</v>
      </c>
      <c r="X1" s="6" t="s">
        <v>60</v>
      </c>
      <c r="Y1" s="6" t="s">
        <v>61</v>
      </c>
    </row>
    <row r="2" spans="1:25" x14ac:dyDescent="0.55000000000000004">
      <c r="A2" s="2">
        <v>3</v>
      </c>
      <c r="B2" s="3" t="s">
        <v>45</v>
      </c>
      <c r="C2" s="2" t="s">
        <v>46</v>
      </c>
      <c r="D2" s="9">
        <v>40.062778000000002</v>
      </c>
      <c r="E2" s="2">
        <v>-88.196111000000002</v>
      </c>
      <c r="F2" s="2" t="s">
        <v>53</v>
      </c>
      <c r="G2" s="2">
        <v>6</v>
      </c>
      <c r="H2" s="2">
        <v>1825</v>
      </c>
      <c r="I2" s="2" t="s">
        <v>47</v>
      </c>
      <c r="J2" s="19">
        <v>6.1</v>
      </c>
      <c r="K2" s="2">
        <v>1295</v>
      </c>
      <c r="L2" s="2">
        <v>0.35</v>
      </c>
      <c r="M2" s="2">
        <v>0.1</v>
      </c>
      <c r="N2" s="2">
        <v>2.5000000000000001E-2</v>
      </c>
      <c r="O2" s="14" t="s">
        <v>51</v>
      </c>
      <c r="P2" s="2">
        <v>300</v>
      </c>
      <c r="Q2" s="2">
        <v>1</v>
      </c>
      <c r="R2" s="2" t="s">
        <v>63</v>
      </c>
      <c r="S2" s="2">
        <v>2</v>
      </c>
      <c r="T2"/>
      <c r="U2"/>
      <c r="V2"/>
      <c r="W2"/>
    </row>
    <row r="3" spans="1:25" x14ac:dyDescent="0.55000000000000004">
      <c r="A3" s="2">
        <v>4</v>
      </c>
      <c r="B3" s="3" t="s">
        <v>45</v>
      </c>
      <c r="C3" s="2" t="s">
        <v>46</v>
      </c>
      <c r="D3" s="9">
        <v>40.062778000000002</v>
      </c>
      <c r="E3" s="2">
        <v>-88.196111000000002</v>
      </c>
      <c r="F3" s="2" t="s">
        <v>53</v>
      </c>
      <c r="G3" s="2">
        <v>6</v>
      </c>
      <c r="H3" s="2">
        <v>1825</v>
      </c>
      <c r="I3" s="2" t="s">
        <v>47</v>
      </c>
      <c r="J3" s="19">
        <v>6.1</v>
      </c>
      <c r="K3" s="2">
        <v>1295</v>
      </c>
      <c r="L3" s="2">
        <v>0.35</v>
      </c>
      <c r="M3" s="2">
        <v>0.1</v>
      </c>
      <c r="N3" s="2">
        <v>2.5000000000000001E-2</v>
      </c>
      <c r="O3" s="14" t="s">
        <v>51</v>
      </c>
      <c r="P3" s="2">
        <v>300</v>
      </c>
      <c r="Q3" s="2">
        <v>1</v>
      </c>
      <c r="R3" s="2" t="s">
        <v>63</v>
      </c>
      <c r="S3" s="2">
        <v>2</v>
      </c>
      <c r="T3"/>
      <c r="U3"/>
      <c r="V3"/>
      <c r="W3"/>
    </row>
    <row r="4" spans="1:25" x14ac:dyDescent="0.55000000000000004">
      <c r="A4" s="2">
        <v>5</v>
      </c>
      <c r="B4" s="3" t="s">
        <v>45</v>
      </c>
      <c r="C4" s="2" t="s">
        <v>46</v>
      </c>
      <c r="D4" s="9">
        <v>40.062778000000002</v>
      </c>
      <c r="E4" s="2">
        <v>-88.196111000000002</v>
      </c>
      <c r="F4" s="2" t="s">
        <v>53</v>
      </c>
      <c r="G4" s="2">
        <v>6</v>
      </c>
      <c r="H4" s="2">
        <v>1825</v>
      </c>
      <c r="I4" s="2" t="s">
        <v>66</v>
      </c>
      <c r="J4" s="19">
        <v>6.1</v>
      </c>
      <c r="K4" s="2">
        <v>1295</v>
      </c>
      <c r="L4" s="2">
        <v>0.35</v>
      </c>
      <c r="M4" s="2">
        <v>0.1</v>
      </c>
      <c r="N4" s="2">
        <v>2.5000000000000001E-2</v>
      </c>
      <c r="O4" s="14" t="s">
        <v>51</v>
      </c>
      <c r="P4" s="2">
        <v>300</v>
      </c>
      <c r="Q4" s="2">
        <v>1</v>
      </c>
      <c r="R4" s="2" t="s">
        <v>63</v>
      </c>
      <c r="S4" s="2">
        <v>2</v>
      </c>
      <c r="T4"/>
      <c r="U4"/>
      <c r="V4"/>
      <c r="W4"/>
    </row>
    <row r="5" spans="1:25" x14ac:dyDescent="0.55000000000000004">
      <c r="A5" s="2">
        <v>6</v>
      </c>
      <c r="B5" s="3" t="s">
        <v>45</v>
      </c>
      <c r="C5" s="2" t="s">
        <v>46</v>
      </c>
      <c r="D5" s="9">
        <v>40.062778000000002</v>
      </c>
      <c r="E5" s="2">
        <v>-88.196111000000002</v>
      </c>
      <c r="F5" s="2" t="s">
        <v>53</v>
      </c>
      <c r="G5" s="2">
        <v>6</v>
      </c>
      <c r="H5" s="2">
        <v>1825</v>
      </c>
      <c r="I5" s="2" t="s">
        <v>66</v>
      </c>
      <c r="J5" s="19">
        <v>6.1</v>
      </c>
      <c r="K5" s="2">
        <v>1295</v>
      </c>
      <c r="L5" s="2">
        <v>0.35</v>
      </c>
      <c r="M5" s="2">
        <v>0.1</v>
      </c>
      <c r="N5" s="2">
        <v>2.5000000000000001E-2</v>
      </c>
      <c r="O5" s="14" t="s">
        <v>51</v>
      </c>
      <c r="P5" s="2">
        <v>300</v>
      </c>
      <c r="Q5" s="2">
        <v>1</v>
      </c>
      <c r="R5" s="2" t="s">
        <v>63</v>
      </c>
      <c r="S5" s="2">
        <v>2</v>
      </c>
      <c r="T5"/>
      <c r="U5"/>
      <c r="V5"/>
      <c r="W5"/>
    </row>
    <row r="6" spans="1:25" x14ac:dyDescent="0.55000000000000004">
      <c r="A6" s="2">
        <v>7</v>
      </c>
      <c r="B6" s="3" t="s">
        <v>45</v>
      </c>
      <c r="C6" s="2" t="s">
        <v>46</v>
      </c>
      <c r="D6" s="9">
        <v>40.062778000000002</v>
      </c>
      <c r="E6" s="2">
        <v>-88.196111000000002</v>
      </c>
      <c r="F6" s="2" t="s">
        <v>53</v>
      </c>
      <c r="G6" s="2">
        <v>6</v>
      </c>
      <c r="H6" s="2">
        <v>1825</v>
      </c>
      <c r="I6" s="2" t="s">
        <v>47</v>
      </c>
      <c r="J6" s="19">
        <v>6.1</v>
      </c>
      <c r="K6" s="2">
        <v>1295</v>
      </c>
      <c r="L6" s="2">
        <v>0.35</v>
      </c>
      <c r="M6" s="2">
        <v>0.1</v>
      </c>
      <c r="N6" s="2">
        <v>2.5000000000000001E-2</v>
      </c>
      <c r="O6" s="14" t="s">
        <v>51</v>
      </c>
      <c r="P6" s="2">
        <v>300</v>
      </c>
      <c r="Q6" s="2">
        <v>1</v>
      </c>
      <c r="R6" s="2" t="s">
        <v>63</v>
      </c>
      <c r="S6" s="2">
        <v>2</v>
      </c>
      <c r="T6"/>
      <c r="U6"/>
      <c r="V6"/>
      <c r="W6"/>
    </row>
    <row r="7" spans="1:25" x14ac:dyDescent="0.55000000000000004">
      <c r="J7"/>
    </row>
    <row r="8" spans="1:25" x14ac:dyDescent="0.55000000000000004">
      <c r="J8"/>
    </row>
    <row r="9" spans="1:25" x14ac:dyDescent="0.55000000000000004">
      <c r="S9" s="9"/>
    </row>
    <row r="10" spans="1:25" x14ac:dyDescent="0.55000000000000004">
      <c r="S10" s="9"/>
    </row>
    <row r="12" spans="1:25" x14ac:dyDescent="0.55000000000000004">
      <c r="Q12" s="9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9F640-0076-4304-86A9-B1EEDC96C211}">
  <dimension ref="A1:AH6"/>
  <sheetViews>
    <sheetView topLeftCell="T1" workbookViewId="0">
      <selection activeCell="E18" sqref="E18"/>
    </sheetView>
  </sheetViews>
  <sheetFormatPr defaultRowHeight="14.4" x14ac:dyDescent="0.55000000000000004"/>
  <cols>
    <col min="1" max="1" width="10.1015625" customWidth="1"/>
    <col min="2" max="2" width="32.5234375" customWidth="1"/>
    <col min="3" max="3" width="12.68359375" customWidth="1"/>
    <col min="4" max="4" width="18.68359375" customWidth="1"/>
    <col min="5" max="5" width="15.3125" customWidth="1"/>
    <col min="6" max="6" width="22.41796875" customWidth="1"/>
    <col min="7" max="7" width="16.3125" customWidth="1"/>
    <col min="8" max="8" width="11.5234375" customWidth="1"/>
    <col min="9" max="9" width="27.3125" customWidth="1"/>
    <col min="10" max="10" width="12.68359375" customWidth="1"/>
    <col min="11" max="11" width="15.5234375" customWidth="1"/>
    <col min="12" max="12" width="23.68359375" customWidth="1"/>
    <col min="13" max="13" width="12.3125" customWidth="1"/>
    <col min="14" max="14" width="11.3125" bestFit="1" customWidth="1"/>
    <col min="15" max="15" width="12.5234375" customWidth="1"/>
    <col min="16" max="16" width="12.3125" customWidth="1"/>
    <col min="17" max="23" width="11.5234375" customWidth="1"/>
    <col min="24" max="24" width="34.68359375" customWidth="1"/>
    <col min="25" max="25" width="15.68359375" customWidth="1"/>
    <col min="26" max="26" width="73.1015625" customWidth="1"/>
    <col min="27" max="27" width="30.1015625" customWidth="1"/>
    <col min="28" max="28" width="15.5234375" customWidth="1"/>
    <col min="32" max="32" width="14.68359375" customWidth="1"/>
    <col min="36" max="36" width="11.3125" customWidth="1"/>
  </cols>
  <sheetData>
    <row r="1" spans="1:34" x14ac:dyDescent="0.55000000000000004">
      <c r="A1" s="5" t="s">
        <v>4</v>
      </c>
      <c r="B1" s="10" t="s">
        <v>57</v>
      </c>
      <c r="C1" s="11" t="s">
        <v>5</v>
      </c>
      <c r="D1" s="12" t="s">
        <v>6</v>
      </c>
      <c r="E1" s="12" t="s">
        <v>7</v>
      </c>
      <c r="F1" s="13" t="s">
        <v>58</v>
      </c>
      <c r="G1" s="6" t="s">
        <v>27</v>
      </c>
      <c r="H1" s="6" t="s">
        <v>28</v>
      </c>
      <c r="I1" s="6" t="s">
        <v>32</v>
      </c>
      <c r="J1" s="5" t="s">
        <v>12</v>
      </c>
      <c r="K1" s="5" t="s">
        <v>37</v>
      </c>
      <c r="L1" s="5" t="s">
        <v>38</v>
      </c>
      <c r="M1" s="5" t="s">
        <v>31</v>
      </c>
      <c r="N1" s="5" t="s">
        <v>13</v>
      </c>
      <c r="O1" s="5" t="s">
        <v>64</v>
      </c>
      <c r="P1" s="5" t="s">
        <v>21</v>
      </c>
      <c r="Q1" s="5" t="s">
        <v>44</v>
      </c>
      <c r="R1" s="5" t="s">
        <v>29</v>
      </c>
      <c r="S1" s="5" t="s">
        <v>33</v>
      </c>
      <c r="T1" s="5" t="s">
        <v>34</v>
      </c>
      <c r="U1" s="5" t="s">
        <v>35</v>
      </c>
      <c r="V1" s="5" t="s">
        <v>30</v>
      </c>
      <c r="W1" s="5" t="s">
        <v>36</v>
      </c>
      <c r="X1" s="5" t="s">
        <v>39</v>
      </c>
      <c r="Y1" s="5" t="s">
        <v>0</v>
      </c>
      <c r="Z1" s="5" t="s">
        <v>14</v>
      </c>
      <c r="AA1" s="5" t="s">
        <v>23</v>
      </c>
      <c r="AB1" s="5" t="s">
        <v>1</v>
      </c>
      <c r="AC1" s="5" t="s">
        <v>24</v>
      </c>
      <c r="AD1" s="5" t="s">
        <v>25</v>
      </c>
      <c r="AE1" s="5" t="s">
        <v>22</v>
      </c>
      <c r="AF1" s="5" t="s">
        <v>43</v>
      </c>
      <c r="AG1" s="5" t="s">
        <v>2</v>
      </c>
      <c r="AH1" s="5" t="s">
        <v>3</v>
      </c>
      <c r="AI1" s="5" t="s">
        <v>75</v>
      </c>
    </row>
    <row r="2" spans="1:34" x14ac:dyDescent="0.55000000000000004">
      <c r="A2" s="4">
        <v>3</v>
      </c>
      <c r="B2" s="3" t="s">
        <v>45</v>
      </c>
      <c r="C2" s="2" t="s">
        <v>46</v>
      </c>
      <c r="D2" s="9">
        <v>40.062778000000002</v>
      </c>
      <c r="E2" s="2">
        <v>-88.196111000000002</v>
      </c>
      <c r="F2" s="2" t="s">
        <v>71</v>
      </c>
      <c r="G2" s="2">
        <v>1</v>
      </c>
      <c r="H2" s="2">
        <v>1</v>
      </c>
      <c r="I2" s="2" t="s">
        <v>46</v>
      </c>
      <c r="J2" s="4">
        <v>1</v>
      </c>
      <c r="K2" t="s">
        <v>46</v>
      </c>
      <c r="L2" t="s">
        <v>49</v>
      </c>
      <c r="M2" t="s">
        <v>54</v>
      </c>
      <c r="N2" t="s">
        <v>48</v>
      </c>
      <c r="O2" s="7">
        <v>8.6</v>
      </c>
      <c r="P2" s="7">
        <v>0</v>
      </c>
      <c r="Q2" s="7">
        <v>0</v>
      </c>
      <c r="R2" s="7"/>
      <c r="S2" s="7"/>
      <c r="T2" s="7"/>
      <c r="U2" s="7"/>
      <c r="V2" s="7"/>
      <c r="W2" s="7"/>
      <c r="Y2">
        <v>0</v>
      </c>
      <c r="Z2" t="s">
        <v>70</v>
      </c>
      <c r="AA2" s="1" t="s">
        <v>69</v>
      </c>
      <c r="AB2">
        <f t="shared" ref="AB2:AB3" si="0">3*1000000</f>
        <v>3000000</v>
      </c>
      <c r="AE2">
        <v>1.02</v>
      </c>
      <c r="AG2">
        <v>1</v>
      </c>
      <c r="AH2">
        <v>0</v>
      </c>
      <c r="AI2">
        <v>2.5</v>
      </c>
    </row>
    <row r="3" spans="1:34" x14ac:dyDescent="0.55000000000000004">
      <c r="A3" s="4">
        <v>4</v>
      </c>
      <c r="B3" s="3" t="s">
        <v>45</v>
      </c>
      <c r="C3" s="2" t="s">
        <v>46</v>
      </c>
      <c r="D3" s="9">
        <v>40.062778000000002</v>
      </c>
      <c r="E3" s="2">
        <v>-88.196111000000002</v>
      </c>
      <c r="F3" s="2" t="s">
        <v>72</v>
      </c>
      <c r="G3" s="2">
        <v>1</v>
      </c>
      <c r="H3" s="2">
        <v>1</v>
      </c>
      <c r="I3" s="2" t="s">
        <v>46</v>
      </c>
      <c r="J3" s="4">
        <v>1</v>
      </c>
      <c r="K3" t="s">
        <v>46</v>
      </c>
      <c r="L3" t="s">
        <v>49</v>
      </c>
      <c r="M3" t="s">
        <v>54</v>
      </c>
      <c r="N3" t="s">
        <v>48</v>
      </c>
      <c r="O3" s="7">
        <v>8.6</v>
      </c>
      <c r="P3" s="7">
        <v>0</v>
      </c>
      <c r="Q3" s="7">
        <v>0</v>
      </c>
      <c r="R3" s="7"/>
      <c r="S3" s="7"/>
      <c r="T3" s="7"/>
      <c r="U3" s="7"/>
      <c r="V3" s="7"/>
      <c r="W3" s="7"/>
      <c r="Y3">
        <v>0</v>
      </c>
      <c r="Z3" t="s">
        <v>67</v>
      </c>
      <c r="AA3" s="1" t="s">
        <v>68</v>
      </c>
      <c r="AB3">
        <f t="shared" si="0"/>
        <v>3000000</v>
      </c>
      <c r="AE3">
        <v>1.02</v>
      </c>
      <c r="AG3">
        <v>1</v>
      </c>
      <c r="AH3">
        <v>0</v>
      </c>
      <c r="AI3">
        <v>2.5</v>
      </c>
    </row>
    <row r="4" spans="1:34" x14ac:dyDescent="0.55000000000000004">
      <c r="A4" s="4">
        <v>5</v>
      </c>
      <c r="B4" s="3" t="s">
        <v>45</v>
      </c>
      <c r="C4" s="2" t="s">
        <v>46</v>
      </c>
      <c r="D4" s="9">
        <v>40.062778000000002</v>
      </c>
      <c r="E4" s="2">
        <v>-88.196111000000002</v>
      </c>
      <c r="F4" t="s">
        <v>55</v>
      </c>
      <c r="G4" s="2">
        <v>1</v>
      </c>
      <c r="H4" s="2">
        <v>1</v>
      </c>
      <c r="I4" s="2" t="s">
        <v>46</v>
      </c>
      <c r="J4" s="4">
        <v>1</v>
      </c>
      <c r="K4" t="s">
        <v>46</v>
      </c>
      <c r="N4" t="s">
        <v>48</v>
      </c>
      <c r="O4" s="7">
        <v>8.6</v>
      </c>
      <c r="P4" s="7">
        <v>0</v>
      </c>
      <c r="Q4" s="7">
        <v>0</v>
      </c>
      <c r="R4" s="7"/>
      <c r="S4" s="7"/>
      <c r="T4" s="7"/>
      <c r="U4" s="7"/>
      <c r="V4" s="7"/>
      <c r="W4" s="7"/>
      <c r="Y4">
        <v>0</v>
      </c>
      <c r="AA4" s="8"/>
      <c r="AH4">
        <v>0</v>
      </c>
      <c r="AI4">
        <v>2.5</v>
      </c>
    </row>
    <row r="5" spans="1:34" x14ac:dyDescent="0.55000000000000004">
      <c r="A5" s="4">
        <v>6</v>
      </c>
      <c r="B5" s="3" t="s">
        <v>45</v>
      </c>
      <c r="C5" s="2" t="s">
        <v>46</v>
      </c>
      <c r="D5" s="9">
        <v>40.062778000000002</v>
      </c>
      <c r="E5" s="2">
        <v>-88.196111000000002</v>
      </c>
      <c r="F5" t="s">
        <v>65</v>
      </c>
      <c r="G5" s="2">
        <v>1</v>
      </c>
      <c r="H5" s="2">
        <v>1</v>
      </c>
      <c r="I5" s="2" t="s">
        <v>46</v>
      </c>
      <c r="J5" s="4">
        <v>1</v>
      </c>
      <c r="K5" t="s">
        <v>46</v>
      </c>
      <c r="N5" t="s">
        <v>48</v>
      </c>
      <c r="O5" s="7">
        <v>8.6</v>
      </c>
      <c r="P5" s="7">
        <v>0</v>
      </c>
      <c r="Q5" s="7">
        <v>0</v>
      </c>
      <c r="R5" s="7"/>
      <c r="S5" s="7"/>
      <c r="T5" s="7"/>
      <c r="U5" s="7"/>
      <c r="V5" s="7"/>
      <c r="W5" s="7"/>
      <c r="Y5">
        <v>0</v>
      </c>
      <c r="AA5" s="8"/>
      <c r="AH5">
        <v>0</v>
      </c>
      <c r="AI5">
        <v>2.5</v>
      </c>
    </row>
    <row r="6" spans="1:34" x14ac:dyDescent="0.55000000000000004">
      <c r="A6" s="4">
        <v>7</v>
      </c>
      <c r="B6" s="3" t="s">
        <v>45</v>
      </c>
      <c r="C6" s="2" t="s">
        <v>46</v>
      </c>
      <c r="D6" s="9">
        <v>40.062778000000002</v>
      </c>
      <c r="E6" s="2">
        <v>-88.196111000000002</v>
      </c>
      <c r="F6" s="2" t="s">
        <v>73</v>
      </c>
      <c r="G6" s="2">
        <v>1</v>
      </c>
      <c r="H6" s="2">
        <v>1</v>
      </c>
      <c r="I6" s="2" t="s">
        <v>46</v>
      </c>
      <c r="J6" s="4">
        <v>1</v>
      </c>
      <c r="K6" t="s">
        <v>46</v>
      </c>
      <c r="L6" t="s">
        <v>49</v>
      </c>
      <c r="M6" t="s">
        <v>54</v>
      </c>
      <c r="N6" t="s">
        <v>48</v>
      </c>
      <c r="O6" s="7">
        <v>8.6</v>
      </c>
      <c r="P6" s="7">
        <v>0</v>
      </c>
      <c r="Q6" s="7">
        <v>0</v>
      </c>
      <c r="R6" s="7"/>
      <c r="S6" s="7"/>
      <c r="T6" s="7"/>
      <c r="U6" s="7"/>
      <c r="V6" s="7"/>
      <c r="W6" s="7"/>
      <c r="Y6">
        <v>0</v>
      </c>
      <c r="Z6" t="s">
        <v>74</v>
      </c>
      <c r="AA6" s="1" t="s">
        <v>62</v>
      </c>
      <c r="AB6">
        <f t="shared" ref="AB6" si="1">3*1000000</f>
        <v>3000000</v>
      </c>
      <c r="AE6">
        <v>1.02</v>
      </c>
      <c r="AG6">
        <v>1</v>
      </c>
      <c r="AH6">
        <v>0</v>
      </c>
      <c r="AI6">
        <v>2.5</v>
      </c>
    </row>
  </sheetData>
  <pageMargins left="0.7" right="0.7" top="0.75" bottom="0.75" header="0.3" footer="0.3"/>
  <pageSetup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55627c1-0cf9-4357-bbd5-48008c93d75a">
      <UserInfo>
        <DisplayName>Jones, Gregory</DisplayName>
        <AccountId>12</AccountId>
        <AccountType/>
      </UserInfo>
    </SharedWithUsers>
    <lcf76f155ced4ddcb4097134ff3c332f xmlns="65a37cd7-3d23-4aec-ad96-417b75cab311">
      <Terms xmlns="http://schemas.microsoft.com/office/infopath/2007/PartnerControls"/>
    </lcf76f155ced4ddcb4097134ff3c332f>
    <TaxCatchAll xmlns="155627c1-0cf9-4357-bbd5-48008c93d75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25395398D53143824DAEC78DD9561A" ma:contentTypeVersion="14" ma:contentTypeDescription="Create a new document." ma:contentTypeScope="" ma:versionID="20ccdcc7d59f2619f731219bc917c622">
  <xsd:schema xmlns:xsd="http://www.w3.org/2001/XMLSchema" xmlns:xs="http://www.w3.org/2001/XMLSchema" xmlns:p="http://schemas.microsoft.com/office/2006/metadata/properties" xmlns:ns2="65a37cd7-3d23-4aec-ad96-417b75cab311" xmlns:ns3="155627c1-0cf9-4357-bbd5-48008c93d75a" targetNamespace="http://schemas.microsoft.com/office/2006/metadata/properties" ma:root="true" ma:fieldsID="e26a2ebc3a37e9b8f4c1fbd5093d1833" ns2:_="" ns3:_="">
    <xsd:import namespace="65a37cd7-3d23-4aec-ad96-417b75cab311"/>
    <xsd:import namespace="155627c1-0cf9-4357-bbd5-48008c93d7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a37cd7-3d23-4aec-ad96-417b75ca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4661dae-d6df-48fc-a54e-a577d2899e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5627c1-0cf9-4357-bbd5-48008c93d75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e2022d3-544c-4e93-95c6-8b7474f5c6b3}" ma:internalName="TaxCatchAll" ma:showField="CatchAllData" ma:web="155627c1-0cf9-4357-bbd5-48008c93d75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802978-8DC2-44C2-8CFD-840D40C88D7C}">
  <ds:schemaRefs>
    <ds:schemaRef ds:uri="http://purl.org/dc/terms/"/>
    <ds:schemaRef ds:uri="http://purl.org/dc/dcmitype/"/>
    <ds:schemaRef ds:uri="155627c1-0cf9-4357-bbd5-48008c93d75a"/>
    <ds:schemaRef ds:uri="http://schemas.openxmlformats.org/package/2006/metadata/core-properties"/>
    <ds:schemaRef ds:uri="http://www.w3.org/XML/1998/namespace"/>
    <ds:schemaRef ds:uri="65a37cd7-3d23-4aec-ad96-417b75cab311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AAA6EAB6-7EA4-41C9-A63C-13457F927A0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a37cd7-3d23-4aec-ad96-417b75cab311"/>
    <ds:schemaRef ds:uri="155627c1-0cf9-4357-bbd5-48008c93d7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4807397-6038-423A-9DD2-E48912B9B2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MOD_PARAM</vt:lpstr>
      <vt:lpstr>ERW_MOD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ZIYAN ZHANG</dc:creator>
  <cp:keywords/>
  <dc:description/>
  <cp:lastModifiedBy>Gregory Jones</cp:lastModifiedBy>
  <cp:revision/>
  <dcterms:created xsi:type="dcterms:W3CDTF">2015-06-05T18:17:20Z</dcterms:created>
  <dcterms:modified xsi:type="dcterms:W3CDTF">2026-08-14T20:19:02Z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0x010100BA25395398D53143824DAEC78DD9561A</vt:lpwstr>
  </property>
  <property fmtid="{D5CDD505-2E9C-101B-9397-08002B2CF9AE}" pid="3" name="MediaServiceImageTags">
    <vt:lpwstr/>
  </property>
</Properties>
</file>